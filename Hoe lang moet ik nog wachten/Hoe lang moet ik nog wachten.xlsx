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smpac-my.sharepoint.com/personal/henkjan_van_der_pol_asmpt_com/Documents/Desktop/"/>
    </mc:Choice>
  </mc:AlternateContent>
  <xr:revisionPtr revIDLastSave="46" documentId="13_ncr:1_{5A178654-5749-43B0-9A7A-2F640464C381}" xr6:coauthVersionLast="47" xr6:coauthVersionMax="47" xr10:uidLastSave="{A06DAA49-E030-4F55-A0D2-7C11E2178751}"/>
  <bookViews>
    <workbookView xWindow="384" yWindow="384" windowWidth="17280" windowHeight="8880" xr2:uid="{00000000-000D-0000-FFFF-FFFF00000000}"/>
  </bookViews>
  <sheets>
    <sheet name="Predictio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2" l="1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L3" i="2" l="1"/>
  <c r="L2" i="2"/>
  <c r="L7" i="2"/>
  <c r="I20" i="2" l="1"/>
  <c r="I22" i="2"/>
  <c r="I23" i="2"/>
  <c r="I24" i="2"/>
  <c r="I25" i="2"/>
  <c r="I21" i="2"/>
  <c r="I26" i="2"/>
  <c r="I27" i="2"/>
  <c r="I3" i="2"/>
  <c r="I2" i="2"/>
  <c r="L6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9" i="2"/>
  <c r="I18" i="2"/>
  <c r="N1" i="2"/>
  <c r="N2" i="2" l="1"/>
  <c r="P2" i="2" s="1"/>
  <c r="P1" i="2"/>
</calcChain>
</file>

<file path=xl/sharedStrings.xml><?xml version="1.0" encoding="utf-8"?>
<sst xmlns="http://schemas.openxmlformats.org/spreadsheetml/2006/main" count="20" uniqueCount="20">
  <si>
    <t>Slope</t>
  </si>
  <si>
    <t>Intercept</t>
  </si>
  <si>
    <t>Target</t>
  </si>
  <si>
    <t>Finished</t>
  </si>
  <si>
    <t>Correlation</t>
  </si>
  <si>
    <t>sec/item</t>
  </si>
  <si>
    <t>min/item</t>
  </si>
  <si>
    <t>items/min</t>
  </si>
  <si>
    <t>Year</t>
  </si>
  <si>
    <t>Month</t>
  </si>
  <si>
    <t>Day</t>
  </si>
  <si>
    <t>Hour</t>
  </si>
  <si>
    <t>Minute</t>
  </si>
  <si>
    <t>Date and time</t>
  </si>
  <si>
    <t>Value</t>
  </si>
  <si>
    <t>date = value*slope + intercept</t>
  </si>
  <si>
    <t>value = (date - intercept)/slope</t>
  </si>
  <si>
    <t>Error</t>
  </si>
  <si>
    <t>Hz</t>
  </si>
  <si>
    <t>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</si>
</sst>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\-yyyy&quot; &quot;hh&quot;:&quot;mm"/>
    <numFmt numFmtId="165" formatCode="0.000"/>
    <numFmt numFmtId="166" formatCode="00"/>
    <numFmt numFmtId="167" formatCode="dd\-mm\-yyyy&quot; &quot;hh&quot;:&quot;mm&quot;:&quot;ss"/>
  </numFmts>
  <fonts count="15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i/>
      <sz val="16"/>
      <color theme="1"/>
      <name val="Liberation Sans"/>
    </font>
    <font>
      <b/>
      <i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0"/>
      <color theme="1"/>
      <name val="Liberation Sans"/>
      <family val="2"/>
    </font>
    <font>
      <b/>
      <sz val="10"/>
      <color theme="1"/>
      <name val="Liberation Sans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7" fillId="0" borderId="0">
      <alignment horizontal="center" textRotation="90"/>
    </xf>
    <xf numFmtId="0" fontId="8" fillId="0" borderId="0">
      <alignment horizontal="center"/>
    </xf>
    <xf numFmtId="0" fontId="6" fillId="7" borderId="0"/>
    <xf numFmtId="0" fontId="4" fillId="5" borderId="0"/>
    <xf numFmtId="0" fontId="10" fillId="8" borderId="0"/>
    <xf numFmtId="0" fontId="11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3" fillId="6" borderId="0"/>
    <xf numFmtId="0" fontId="5" fillId="0" borderId="0"/>
    <xf numFmtId="0" fontId="7" fillId="0" borderId="0">
      <alignment horizontal="center"/>
    </xf>
    <xf numFmtId="0" fontId="9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4" fillId="0" borderId="0"/>
  </cellStyleXfs>
  <cellXfs count="18">
    <xf numFmtId="0" fontId="0" fillId="0" borderId="0" xfId="0"/>
    <xf numFmtId="164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0" fontId="13" fillId="0" borderId="0" xfId="0" applyFont="1"/>
    <xf numFmtId="2" fontId="1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horizontal="center"/>
    </xf>
    <xf numFmtId="1" fontId="1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6" fontId="14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7" fontId="14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/>
    </xf>
  </cellXfs>
  <cellStyles count="20">
    <cellStyle name="Accent" xfId="7" xr:uid="{00000000-0005-0000-0000-000000000000}"/>
    <cellStyle name="Accent 1" xfId="8" xr:uid="{00000000-0005-0000-0000-000001000000}"/>
    <cellStyle name="Accent 2" xfId="9" xr:uid="{00000000-0005-0000-0000-000002000000}"/>
    <cellStyle name="Accent 3" xfId="10" xr:uid="{00000000-0005-0000-0000-000003000000}"/>
    <cellStyle name="Bad" xfId="4" builtinId="27" customBuiltin="1"/>
    <cellStyle name="Error" xfId="11" xr:uid="{00000000-0005-0000-0000-000005000000}"/>
    <cellStyle name="Footnote" xfId="12" xr:uid="{00000000-0005-0000-0000-000006000000}"/>
    <cellStyle name="Good" xfId="3" builtinId="26" customBuiltin="1"/>
    <cellStyle name="Heading" xfId="13" xr:uid="{00000000-0005-0000-0000-000008000000}"/>
    <cellStyle name="Heading 1" xfId="1" builtinId="16" customBuiltin="1"/>
    <cellStyle name="Heading 2" xfId="2" builtinId="17" customBuiltin="1"/>
    <cellStyle name="Hyperlink" xfId="14" xr:uid="{00000000-0005-0000-0000-00000B000000}"/>
    <cellStyle name="Neutral" xfId="5" builtinId="28" customBuiltin="1"/>
    <cellStyle name="Normal" xfId="0" builtinId="0" customBuiltin="1"/>
    <cellStyle name="Note" xfId="6" builtinId="10" customBuiltin="1"/>
    <cellStyle name="Result" xfId="15" xr:uid="{00000000-0005-0000-0000-00000F000000}"/>
    <cellStyle name="Result2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square"/>
            <c:size val="7"/>
          </c:marker>
          <c:trendline>
            <c:trendlineType val="linear"/>
            <c:dispRSqr val="0"/>
            <c:dispEq val="0"/>
          </c:trendline>
          <c:xVal>
            <c:numRef>
              <c:f>Prediction!$H$2:$H$987</c:f>
              <c:numCache>
                <c:formatCode>dd\-mm\-yyyy" "hh":"mm":"ss</c:formatCode>
                <c:ptCount val="986"/>
                <c:pt idx="0">
                  <c:v>46190.891099537039</c:v>
                </c:pt>
                <c:pt idx="1">
                  <c:v>46190.891250000001</c:v>
                </c:pt>
                <c:pt idx="2">
                  <c:v>46190.891377314816</c:v>
                </c:pt>
                <c:pt idx="3">
                  <c:v>46190.891527777778</c:v>
                </c:pt>
                <c:pt idx="4">
                  <c:v>46190.89166666667</c:v>
                </c:pt>
                <c:pt idx="5">
                  <c:v>46190.892777777779</c:v>
                </c:pt>
                <c:pt idx="6">
                  <c:v>46190.891099537039</c:v>
                </c:pt>
                <c:pt idx="7">
                  <c:v>46190.891099537039</c:v>
                </c:pt>
                <c:pt idx="8">
                  <c:v>46190.891099537039</c:v>
                </c:pt>
                <c:pt idx="9">
                  <c:v>46190.891099537039</c:v>
                </c:pt>
                <c:pt idx="10">
                  <c:v>46190.891099537039</c:v>
                </c:pt>
                <c:pt idx="11">
                  <c:v>46190.891099537039</c:v>
                </c:pt>
                <c:pt idx="12">
                  <c:v>46190.891099537039</c:v>
                </c:pt>
                <c:pt idx="13">
                  <c:v>46190.891099537039</c:v>
                </c:pt>
                <c:pt idx="14">
                  <c:v>46190.891099537039</c:v>
                </c:pt>
                <c:pt idx="15">
                  <c:v>46190.891099537039</c:v>
                </c:pt>
                <c:pt idx="16">
                  <c:v>46190.891099537039</c:v>
                </c:pt>
                <c:pt idx="17">
                  <c:v>46190.891099537039</c:v>
                </c:pt>
                <c:pt idx="18">
                  <c:v>46190.891099537039</c:v>
                </c:pt>
                <c:pt idx="19">
                  <c:v>46190.891099537039</c:v>
                </c:pt>
                <c:pt idx="20">
                  <c:v>46190.891099537039</c:v>
                </c:pt>
                <c:pt idx="21">
                  <c:v>46190.891099537039</c:v>
                </c:pt>
                <c:pt idx="22">
                  <c:v>46190.891099537039</c:v>
                </c:pt>
                <c:pt idx="23">
                  <c:v>46190.891099537039</c:v>
                </c:pt>
                <c:pt idx="24">
                  <c:v>46190.891099537039</c:v>
                </c:pt>
                <c:pt idx="25">
                  <c:v>46190.891099537039</c:v>
                </c:pt>
              </c:numCache>
            </c:numRef>
          </c:xVal>
          <c:yVal>
            <c:numRef>
              <c:f>Prediction!$G$2:$G$987</c:f>
              <c:numCache>
                <c:formatCode>0</c:formatCode>
                <c:ptCount val="98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8-419F-9E76-6C1F9B07E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486688"/>
        <c:axId val="1900485696"/>
      </c:scatterChart>
      <c:valAx>
        <c:axId val="190048569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0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NL"/>
          </a:p>
        </c:txPr>
        <c:crossAx val="1900486688"/>
        <c:crossesAt val="0"/>
        <c:crossBetween val="midCat"/>
      </c:valAx>
      <c:valAx>
        <c:axId val="1900486688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hh&quot;:&quot;mm" sourceLinked="0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NL"/>
          </a:p>
        </c:txPr>
        <c:crossAx val="1900485696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7940078" y="455378"/>
    <xdr:ext cx="4781880" cy="26319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C6B2D4-B128-22A7-364B-612C7CFCA3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tabSelected="1" workbookViewId="0">
      <pane ySplit="1" topLeftCell="A2" activePane="bottomLeft" state="frozen"/>
      <selection pane="bottomLeft" activeCell="G12" sqref="G12"/>
    </sheetView>
  </sheetViews>
  <sheetFormatPr defaultRowHeight="13.2"/>
  <cols>
    <col min="1" max="4" width="7.21875" style="3" customWidth="1"/>
    <col min="5" max="6" width="7.21875" style="15" customWidth="1"/>
    <col min="7" max="7" width="8.33203125" style="13" customWidth="1"/>
    <col min="8" max="8" width="18.21875" style="17" bestFit="1" customWidth="1"/>
    <col min="9" max="9" width="10" style="8" customWidth="1"/>
    <col min="10" max="10" width="2.88671875" customWidth="1"/>
    <col min="11" max="11" width="10.44140625" customWidth="1"/>
    <col min="12" max="12" width="16.109375" customWidth="1"/>
    <col min="13" max="13" width="3" customWidth="1"/>
    <col min="14" max="14" width="8.77734375" style="10" customWidth="1"/>
    <col min="15" max="15" width="7.77734375" bestFit="1" customWidth="1"/>
    <col min="16" max="16" width="9.77734375" style="9" customWidth="1"/>
  </cols>
  <sheetData>
    <row r="1" spans="1:17">
      <c r="A1" s="4" t="s">
        <v>8</v>
      </c>
      <c r="B1" s="4" t="s">
        <v>9</v>
      </c>
      <c r="C1" s="4" t="s">
        <v>10</v>
      </c>
      <c r="D1" s="4" t="s">
        <v>11</v>
      </c>
      <c r="E1" s="14" t="s">
        <v>12</v>
      </c>
      <c r="F1" s="14" t="s">
        <v>19</v>
      </c>
      <c r="G1" s="12" t="s">
        <v>14</v>
      </c>
      <c r="H1" s="16" t="s">
        <v>13</v>
      </c>
      <c r="I1" s="7" t="s">
        <v>17</v>
      </c>
      <c r="N1" s="10">
        <f>3600*L2*24</f>
        <v>13.225806452814608</v>
      </c>
      <c r="O1" t="s">
        <v>5</v>
      </c>
      <c r="P1" s="9">
        <f>1/N1</f>
        <v>7.5609756090691024E-2</v>
      </c>
      <c r="Q1" t="s">
        <v>18</v>
      </c>
    </row>
    <row r="2" spans="1:17">
      <c r="A2" s="3">
        <v>2026</v>
      </c>
      <c r="B2" s="3">
        <v>6</v>
      </c>
      <c r="C2" s="3">
        <v>17</v>
      </c>
      <c r="D2" s="3">
        <v>21</v>
      </c>
      <c r="E2" s="15">
        <v>23</v>
      </c>
      <c r="F2" s="15">
        <v>11</v>
      </c>
      <c r="G2" s="13">
        <v>5</v>
      </c>
      <c r="H2" s="17">
        <f>DATE(A2,B2,C2)+TIME(D2,E2,F2)</f>
        <v>46190.891099537039</v>
      </c>
      <c r="I2" s="8">
        <f>((H2-$L$3)/$L$2-G2)</f>
        <v>0.12276424099597971</v>
      </c>
      <c r="K2" t="s">
        <v>0</v>
      </c>
      <c r="L2">
        <f>SLOPE(H:H,G:G)</f>
        <v>1.5307646357424316E-4</v>
      </c>
      <c r="N2" s="10">
        <f>N1/60</f>
        <v>0.22043010754691011</v>
      </c>
      <c r="O2" t="s">
        <v>6</v>
      </c>
      <c r="P2" s="9">
        <f>1/N2</f>
        <v>4.5365853654414616</v>
      </c>
      <c r="Q2" t="s">
        <v>7</v>
      </c>
    </row>
    <row r="3" spans="1:17">
      <c r="A3" s="3">
        <v>2026</v>
      </c>
      <c r="B3" s="3">
        <v>6</v>
      </c>
      <c r="C3" s="3">
        <v>17</v>
      </c>
      <c r="D3" s="3">
        <v>21</v>
      </c>
      <c r="E3" s="15">
        <v>23</v>
      </c>
      <c r="F3" s="15">
        <v>24</v>
      </c>
      <c r="G3" s="13">
        <v>6</v>
      </c>
      <c r="H3" s="17">
        <f t="shared" ref="H3:H27" si="0">DATE(A3,B3,C3)+TIME(D3,E3,F3)</f>
        <v>46190.891250000001</v>
      </c>
      <c r="I3" s="8">
        <f>((H3-$L$3)/$L$2-G3)</f>
        <v>0.1056910622882512</v>
      </c>
      <c r="K3" t="s">
        <v>1</v>
      </c>
      <c r="L3" s="1">
        <f>INTERCEPT(H:H,G:G)</f>
        <v>46190.890315362405</v>
      </c>
      <c r="M3" s="1"/>
    </row>
    <row r="4" spans="1:17">
      <c r="A4" s="3">
        <v>2026</v>
      </c>
      <c r="B4" s="3">
        <v>6</v>
      </c>
      <c r="C4" s="3">
        <v>17</v>
      </c>
      <c r="D4" s="3">
        <v>21</v>
      </c>
      <c r="E4" s="15">
        <v>23</v>
      </c>
      <c r="F4" s="15">
        <v>35</v>
      </c>
      <c r="G4" s="13">
        <v>7</v>
      </c>
      <c r="H4" s="17">
        <f t="shared" si="0"/>
        <v>46190.891377314816</v>
      </c>
      <c r="I4" s="8">
        <f>((H4-$L$3)/$L$2-G4)</f>
        <v>-6.2601616418706207E-2</v>
      </c>
    </row>
    <row r="5" spans="1:17">
      <c r="A5" s="3">
        <v>2026</v>
      </c>
      <c r="B5" s="3">
        <v>6</v>
      </c>
      <c r="C5" s="3">
        <v>17</v>
      </c>
      <c r="D5" s="3">
        <v>21</v>
      </c>
      <c r="E5" s="15">
        <v>23</v>
      </c>
      <c r="F5" s="15">
        <v>48</v>
      </c>
      <c r="G5" s="13">
        <v>8</v>
      </c>
      <c r="H5" s="17">
        <f t="shared" si="0"/>
        <v>46190.891527777778</v>
      </c>
      <c r="I5" s="8">
        <f>((H5-$L$3)/$L$2-G5)</f>
        <v>-7.9674795126434717E-2</v>
      </c>
      <c r="K5" t="s">
        <v>2</v>
      </c>
      <c r="L5" s="5">
        <v>1500</v>
      </c>
      <c r="M5" s="5"/>
    </row>
    <row r="6" spans="1:17">
      <c r="A6" s="3">
        <v>2026</v>
      </c>
      <c r="B6" s="3">
        <v>6</v>
      </c>
      <c r="C6" s="3">
        <v>17</v>
      </c>
      <c r="D6" s="3">
        <v>21</v>
      </c>
      <c r="E6" s="15">
        <v>24</v>
      </c>
      <c r="F6" s="15">
        <v>0</v>
      </c>
      <c r="G6" s="13">
        <v>9</v>
      </c>
      <c r="H6" s="17">
        <f t="shared" si="0"/>
        <v>46190.89166666667</v>
      </c>
      <c r="I6" s="8">
        <f>((H6-$L$3)/$L$2-G6)</f>
        <v>-0.17235770006801587</v>
      </c>
      <c r="K6" t="s">
        <v>3</v>
      </c>
      <c r="L6" s="1">
        <f>L3+L2*L5</f>
        <v>46191.119930057765</v>
      </c>
      <c r="M6" s="1"/>
      <c r="P6" s="11"/>
    </row>
    <row r="7" spans="1:17">
      <c r="A7" s="3">
        <v>2026</v>
      </c>
      <c r="B7" s="3">
        <v>6</v>
      </c>
      <c r="C7" s="3">
        <v>17</v>
      </c>
      <c r="D7" s="3">
        <v>21</v>
      </c>
      <c r="E7" s="15">
        <v>25</v>
      </c>
      <c r="F7" s="15">
        <v>36</v>
      </c>
      <c r="G7" s="13">
        <v>16</v>
      </c>
      <c r="H7" s="17">
        <f t="shared" si="0"/>
        <v>46190.892777777779</v>
      </c>
      <c r="I7" s="8">
        <f>((H7-$L$3)/$L$2-G7)</f>
        <v>8.6178870273240449E-2</v>
      </c>
      <c r="K7" t="s">
        <v>4</v>
      </c>
      <c r="L7" s="2">
        <f>CORREL(H:H,G:G)</f>
        <v>0.99952522433641244</v>
      </c>
      <c r="M7" s="2"/>
    </row>
    <row r="8" spans="1:17">
      <c r="A8" s="3">
        <v>2026</v>
      </c>
      <c r="B8" s="3">
        <v>6</v>
      </c>
      <c r="C8" s="3">
        <v>17</v>
      </c>
      <c r="D8" s="3">
        <v>21</v>
      </c>
      <c r="E8" s="15">
        <v>23</v>
      </c>
      <c r="F8" s="15">
        <v>11</v>
      </c>
      <c r="H8" s="17">
        <f t="shared" si="0"/>
        <v>46190.891099537039</v>
      </c>
      <c r="I8" s="8">
        <f>((H8-$L$3)/$L$2-G8)</f>
        <v>5.1227642409959797</v>
      </c>
    </row>
    <row r="9" spans="1:17">
      <c r="A9" s="3">
        <v>2026</v>
      </c>
      <c r="B9" s="3">
        <v>6</v>
      </c>
      <c r="C9" s="3">
        <v>17</v>
      </c>
      <c r="D9" s="3">
        <v>21</v>
      </c>
      <c r="E9" s="15">
        <v>23</v>
      </c>
      <c r="F9" s="15">
        <v>11</v>
      </c>
      <c r="H9" s="17">
        <f t="shared" si="0"/>
        <v>46190.891099537039</v>
      </c>
      <c r="I9" s="8">
        <f>((H9-$L$3)/$L$2-G9)</f>
        <v>5.1227642409959797</v>
      </c>
      <c r="K9" s="6" t="s">
        <v>15</v>
      </c>
    </row>
    <row r="10" spans="1:17">
      <c r="A10" s="3">
        <v>2026</v>
      </c>
      <c r="B10" s="3">
        <v>6</v>
      </c>
      <c r="C10" s="3">
        <v>17</v>
      </c>
      <c r="D10" s="3">
        <v>21</v>
      </c>
      <c r="E10" s="15">
        <v>23</v>
      </c>
      <c r="F10" s="15">
        <v>11</v>
      </c>
      <c r="H10" s="17">
        <f t="shared" si="0"/>
        <v>46190.891099537039</v>
      </c>
      <c r="I10" s="8">
        <f>((H10-$L$3)/$L$2-G10)</f>
        <v>5.1227642409959797</v>
      </c>
      <c r="K10" s="6" t="s">
        <v>16</v>
      </c>
    </row>
    <row r="11" spans="1:17">
      <c r="A11" s="3">
        <v>2026</v>
      </c>
      <c r="B11" s="3">
        <v>6</v>
      </c>
      <c r="C11" s="3">
        <v>17</v>
      </c>
      <c r="D11" s="3">
        <v>21</v>
      </c>
      <c r="E11" s="15">
        <v>23</v>
      </c>
      <c r="F11" s="15">
        <v>11</v>
      </c>
      <c r="H11" s="17">
        <f t="shared" si="0"/>
        <v>46190.891099537039</v>
      </c>
      <c r="I11" s="8">
        <f>((H11-$L$3)/$L$2-G11)</f>
        <v>5.1227642409959797</v>
      </c>
    </row>
    <row r="12" spans="1:17">
      <c r="A12" s="3">
        <v>2026</v>
      </c>
      <c r="B12" s="3">
        <v>6</v>
      </c>
      <c r="C12" s="3">
        <v>17</v>
      </c>
      <c r="D12" s="3">
        <v>21</v>
      </c>
      <c r="E12" s="15">
        <v>23</v>
      </c>
      <c r="F12" s="15">
        <v>11</v>
      </c>
      <c r="H12" s="17">
        <f t="shared" si="0"/>
        <v>46190.891099537039</v>
      </c>
      <c r="I12" s="8">
        <f>((H12-$L$3)/$L$2-G12)</f>
        <v>5.1227642409959797</v>
      </c>
    </row>
    <row r="13" spans="1:17">
      <c r="A13" s="3">
        <v>2026</v>
      </c>
      <c r="B13" s="3">
        <v>6</v>
      </c>
      <c r="C13" s="3">
        <v>17</v>
      </c>
      <c r="D13" s="3">
        <v>21</v>
      </c>
      <c r="E13" s="15">
        <v>23</v>
      </c>
      <c r="F13" s="15">
        <v>11</v>
      </c>
      <c r="H13" s="17">
        <f t="shared" si="0"/>
        <v>46190.891099537039</v>
      </c>
      <c r="I13" s="8">
        <f>((H13-$L$3)/$L$2-G13)</f>
        <v>5.1227642409959797</v>
      </c>
    </row>
    <row r="14" spans="1:17">
      <c r="A14" s="3">
        <v>2026</v>
      </c>
      <c r="B14" s="3">
        <v>6</v>
      </c>
      <c r="C14" s="3">
        <v>17</v>
      </c>
      <c r="D14" s="3">
        <v>21</v>
      </c>
      <c r="E14" s="15">
        <v>23</v>
      </c>
      <c r="F14" s="15">
        <v>11</v>
      </c>
      <c r="H14" s="17">
        <f t="shared" si="0"/>
        <v>46190.891099537039</v>
      </c>
      <c r="I14" s="8">
        <f>((H14-$L$3)/$L$2-G14)</f>
        <v>5.1227642409959797</v>
      </c>
    </row>
    <row r="15" spans="1:17">
      <c r="A15" s="3">
        <v>2026</v>
      </c>
      <c r="B15" s="3">
        <v>6</v>
      </c>
      <c r="C15" s="3">
        <v>17</v>
      </c>
      <c r="D15" s="3">
        <v>21</v>
      </c>
      <c r="E15" s="15">
        <v>23</v>
      </c>
      <c r="F15" s="15">
        <v>11</v>
      </c>
      <c r="H15" s="17">
        <f t="shared" si="0"/>
        <v>46190.891099537039</v>
      </c>
      <c r="I15" s="8">
        <f>((H15-$L$3)/$L$2-G15)</f>
        <v>5.1227642409959797</v>
      </c>
    </row>
    <row r="16" spans="1:17">
      <c r="A16" s="3">
        <v>2026</v>
      </c>
      <c r="B16" s="3">
        <v>6</v>
      </c>
      <c r="C16" s="3">
        <v>17</v>
      </c>
      <c r="D16" s="3">
        <v>21</v>
      </c>
      <c r="E16" s="15">
        <v>23</v>
      </c>
      <c r="F16" s="15">
        <v>11</v>
      </c>
      <c r="H16" s="17">
        <f t="shared" si="0"/>
        <v>46190.891099537039</v>
      </c>
      <c r="I16" s="8">
        <f>((H16-$L$3)/$L$2-G16)</f>
        <v>5.1227642409959797</v>
      </c>
    </row>
    <row r="17" spans="1:13">
      <c r="A17" s="3">
        <v>2026</v>
      </c>
      <c r="B17" s="3">
        <v>6</v>
      </c>
      <c r="C17" s="3">
        <v>17</v>
      </c>
      <c r="D17" s="3">
        <v>21</v>
      </c>
      <c r="E17" s="15">
        <v>23</v>
      </c>
      <c r="F17" s="15">
        <v>11</v>
      </c>
      <c r="H17" s="17">
        <f t="shared" si="0"/>
        <v>46190.891099537039</v>
      </c>
      <c r="I17" s="8">
        <f>((H17-$L$3)/$L$2-G17)</f>
        <v>5.1227642409959797</v>
      </c>
    </row>
    <row r="18" spans="1:13">
      <c r="A18" s="3">
        <v>2026</v>
      </c>
      <c r="B18" s="3">
        <v>6</v>
      </c>
      <c r="C18" s="3">
        <v>17</v>
      </c>
      <c r="D18" s="3">
        <v>21</v>
      </c>
      <c r="E18" s="15">
        <v>23</v>
      </c>
      <c r="F18" s="15">
        <v>11</v>
      </c>
      <c r="H18" s="17">
        <f t="shared" si="0"/>
        <v>46190.891099537039</v>
      </c>
      <c r="I18" s="8">
        <f>((H18-$L$3)/$L$2-G18)</f>
        <v>5.1227642409959797</v>
      </c>
    </row>
    <row r="19" spans="1:13">
      <c r="A19" s="3">
        <v>2026</v>
      </c>
      <c r="B19" s="3">
        <v>6</v>
      </c>
      <c r="C19" s="3">
        <v>17</v>
      </c>
      <c r="D19" s="3">
        <v>21</v>
      </c>
      <c r="E19" s="15">
        <v>23</v>
      </c>
      <c r="F19" s="15">
        <v>11</v>
      </c>
      <c r="H19" s="17">
        <f t="shared" si="0"/>
        <v>46190.891099537039</v>
      </c>
      <c r="I19" s="8">
        <f>((H19-$L$3)/$L$2-G19)</f>
        <v>5.1227642409959797</v>
      </c>
    </row>
    <row r="20" spans="1:13">
      <c r="A20" s="3">
        <v>2026</v>
      </c>
      <c r="B20" s="3">
        <v>6</v>
      </c>
      <c r="C20" s="3">
        <v>17</v>
      </c>
      <c r="D20" s="3">
        <v>21</v>
      </c>
      <c r="E20" s="15">
        <v>23</v>
      </c>
      <c r="F20" s="15">
        <v>11</v>
      </c>
      <c r="H20" s="17">
        <f t="shared" si="0"/>
        <v>46190.891099537039</v>
      </c>
      <c r="I20" s="8">
        <f>((H20-$L$3)/$L$2-G20)</f>
        <v>5.1227642409959797</v>
      </c>
    </row>
    <row r="21" spans="1:13">
      <c r="A21" s="3">
        <v>2026</v>
      </c>
      <c r="B21" s="3">
        <v>6</v>
      </c>
      <c r="C21" s="3">
        <v>17</v>
      </c>
      <c r="D21" s="3">
        <v>21</v>
      </c>
      <c r="E21" s="15">
        <v>23</v>
      </c>
      <c r="F21" s="15">
        <v>11</v>
      </c>
      <c r="H21" s="17">
        <f t="shared" si="0"/>
        <v>46190.891099537039</v>
      </c>
      <c r="I21" s="8">
        <f>((H21-$L$3)/$L$2-G21)</f>
        <v>5.1227642409959797</v>
      </c>
    </row>
    <row r="22" spans="1:13">
      <c r="A22" s="3">
        <v>2026</v>
      </c>
      <c r="B22" s="3">
        <v>6</v>
      </c>
      <c r="C22" s="3">
        <v>17</v>
      </c>
      <c r="D22" s="3">
        <v>21</v>
      </c>
      <c r="E22" s="15">
        <v>23</v>
      </c>
      <c r="F22" s="15">
        <v>11</v>
      </c>
      <c r="H22" s="17">
        <f t="shared" si="0"/>
        <v>46190.891099537039</v>
      </c>
      <c r="I22" s="8">
        <f>((H22-$L$3)/$L$2-G22)</f>
        <v>5.1227642409959797</v>
      </c>
    </row>
    <row r="23" spans="1:13">
      <c r="A23" s="3">
        <v>2026</v>
      </c>
      <c r="B23" s="3">
        <v>6</v>
      </c>
      <c r="C23" s="3">
        <v>17</v>
      </c>
      <c r="D23" s="3">
        <v>21</v>
      </c>
      <c r="E23" s="15">
        <v>23</v>
      </c>
      <c r="F23" s="15">
        <v>11</v>
      </c>
      <c r="H23" s="17">
        <f t="shared" si="0"/>
        <v>46190.891099537039</v>
      </c>
      <c r="I23" s="8">
        <f>((H23-$L$3)/$L$2-G23)</f>
        <v>5.1227642409959797</v>
      </c>
    </row>
    <row r="24" spans="1:13">
      <c r="A24" s="3">
        <v>2026</v>
      </c>
      <c r="B24" s="3">
        <v>6</v>
      </c>
      <c r="C24" s="3">
        <v>17</v>
      </c>
      <c r="D24" s="3">
        <v>21</v>
      </c>
      <c r="E24" s="15">
        <v>23</v>
      </c>
      <c r="F24" s="15">
        <v>11</v>
      </c>
      <c r="H24" s="17">
        <f t="shared" si="0"/>
        <v>46190.891099537039</v>
      </c>
      <c r="I24" s="8">
        <f>((H24-$L$3)/$L$2-G24)</f>
        <v>5.1227642409959797</v>
      </c>
      <c r="L24" s="1"/>
      <c r="M24" s="1"/>
    </row>
    <row r="25" spans="1:13">
      <c r="A25" s="3">
        <v>2026</v>
      </c>
      <c r="B25" s="3">
        <v>6</v>
      </c>
      <c r="C25" s="3">
        <v>17</v>
      </c>
      <c r="D25" s="3">
        <v>21</v>
      </c>
      <c r="E25" s="15">
        <v>23</v>
      </c>
      <c r="F25" s="15">
        <v>11</v>
      </c>
      <c r="H25" s="17">
        <f t="shared" si="0"/>
        <v>46190.891099537039</v>
      </c>
      <c r="I25" s="8">
        <f>((H25-$L$3)/$L$2-G25)</f>
        <v>5.1227642409959797</v>
      </c>
    </row>
    <row r="26" spans="1:13">
      <c r="A26" s="3">
        <v>2026</v>
      </c>
      <c r="B26" s="3">
        <v>6</v>
      </c>
      <c r="C26" s="3">
        <v>17</v>
      </c>
      <c r="D26" s="3">
        <v>21</v>
      </c>
      <c r="E26" s="15">
        <v>23</v>
      </c>
      <c r="F26" s="15">
        <v>11</v>
      </c>
      <c r="H26" s="17">
        <f t="shared" si="0"/>
        <v>46190.891099537039</v>
      </c>
      <c r="I26" s="8">
        <f>((H26-$L$3)/$L$2-G26)</f>
        <v>5.1227642409959797</v>
      </c>
    </row>
    <row r="27" spans="1:13">
      <c r="A27" s="3">
        <v>2026</v>
      </c>
      <c r="B27" s="3">
        <v>6</v>
      </c>
      <c r="C27" s="3">
        <v>17</v>
      </c>
      <c r="D27" s="3">
        <v>21</v>
      </c>
      <c r="E27" s="15">
        <v>23</v>
      </c>
      <c r="F27" s="15">
        <v>11</v>
      </c>
      <c r="H27" s="17">
        <f t="shared" si="0"/>
        <v>46190.891099537039</v>
      </c>
      <c r="I27" s="8">
        <f>((H27-$L$3)/$L$2-G27)</f>
        <v>5.1227642409959797</v>
      </c>
    </row>
  </sheetData>
  <conditionalFormatting sqref="I2:I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" right="0" top="0.39370078740157477" bottom="0.39370078740157477" header="0" footer="0"/>
  <pageSetup paperSize="9" orientation="portrait" horizontalDpi="4294967295" verticalDpi="4294967295" r:id="rId1"/>
  <headerFooter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432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Prediction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HenkJan van der Pol | Bond3D</dc:creator>
  <cp:lastModifiedBy>HenkJan van der Pol</cp:lastModifiedBy>
  <cp:revision>12</cp:revision>
  <dcterms:created xsi:type="dcterms:W3CDTF">2015-06-21T11:44:14Z</dcterms:created>
  <dcterms:modified xsi:type="dcterms:W3CDTF">2026-06-24T06:10:20Z</dcterms:modified>
</cp:coreProperties>
</file>